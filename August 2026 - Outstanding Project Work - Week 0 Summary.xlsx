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chenery\Downloads\Project Updates\"/>
    </mc:Choice>
  </mc:AlternateContent>
  <xr:revisionPtr revIDLastSave="0" documentId="13_ncr:1_{86C774C6-40EF-4C63-89C4-75B591D76EF7}" xr6:coauthVersionLast="47" xr6:coauthVersionMax="47" xr10:uidLastSave="{00000000-0000-0000-0000-000000000000}"/>
  <bookViews>
    <workbookView xWindow="-98" yWindow="-98" windowWidth="21795" windowHeight="12975" firstSheet="1" activeTab="1" xr2:uid="{5B2BC889-99C6-41F2-893D-24DE9E8E33A1}"/>
  </bookViews>
  <sheets>
    <sheet name="Project Information" sheetId="3" r:id="rId1"/>
    <sheet name="Items" sheetId="1" r:id="rId2"/>
    <sheet name="Lists" sheetId="2" state="hidden" r:id="rId3"/>
  </sheets>
  <definedNames>
    <definedName name="STATUS">Lists!$A$2:$A$9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4" i="3" l="1"/>
  <c r="C15" i="3"/>
  <c r="C16" i="3"/>
  <c r="C17" i="3"/>
  <c r="C18" i="3"/>
  <c r="C19" i="3"/>
  <c r="C20" i="3"/>
  <c r="C13" i="3"/>
  <c r="C22" i="3"/>
</calcChain>
</file>

<file path=xl/sharedStrings.xml><?xml version="1.0" encoding="utf-8"?>
<sst xmlns="http://schemas.openxmlformats.org/spreadsheetml/2006/main" count="245" uniqueCount="196">
  <si>
    <t>Project Information</t>
  </si>
  <si>
    <r>
      <t>Unified Marketing Phase 1:</t>
    </r>
    <r>
      <rPr>
        <sz val="11"/>
        <color theme="1"/>
        <rFont val="CiscoSansTT"/>
        <family val="2"/>
      </rPr>
      <t xml:space="preserve"> </t>
    </r>
  </si>
  <si>
    <t>Standardizes UTM parameters, cookie tracking, and data elements across Eloqua, Tealium, Tray, and Workfront to build a governed foundation for capturing customer touchpoints in preparation for FY27 attribution models.</t>
  </si>
  <si>
    <r>
      <t>Unified Marketing Phase 2:</t>
    </r>
    <r>
      <rPr>
        <sz val="11"/>
        <color theme="1"/>
        <rFont val="CiscoSansTT"/>
        <family val="2"/>
      </rPr>
      <t xml:space="preserve"> </t>
    </r>
  </si>
  <si>
    <t>Focuses on content-level tracking by embedding Content IDs into web pages and establishing downstream data routing through Tray to enrich lead records with Workfront metadata.</t>
  </si>
  <si>
    <r>
      <t>Pivot Project for CTT Alignment:</t>
    </r>
    <r>
      <rPr>
        <sz val="11"/>
        <color theme="1"/>
        <rFont val="CiscoSansTT"/>
        <family val="2"/>
      </rPr>
      <t xml:space="preserve"> </t>
    </r>
  </si>
  <si>
    <t>Enhances the legacy Campaign Tagging and Tracking (CTT) tool and Workfront processes with standardized data attributes, allowing reporting teams to maintain consistent analytics logic across legacy and new workflows prior to full CTT decommissioning.</t>
  </si>
  <si>
    <t>Project Status</t>
  </si>
  <si>
    <t>In Production</t>
  </si>
  <si>
    <t>Partially Delivered</t>
  </si>
  <si>
    <t>Requirements to be Defined</t>
  </si>
  <si>
    <t>In Development Analysis</t>
  </si>
  <si>
    <t>Awaiting Sprint Assignment</t>
  </si>
  <si>
    <t>In Development</t>
  </si>
  <si>
    <t>In Testing</t>
  </si>
  <si>
    <t>On Hold</t>
  </si>
  <si>
    <t>Total Action Items</t>
  </si>
  <si>
    <t>Marketing Attribution &amp; Data Standardization Roadmap (FY26–FY27)</t>
  </si>
  <si>
    <t>This spreadsheet tracks the chanages we are making across our web tools, databases, and marketing systems. It shows who is responsible for each task, what is currently finished, and what still needs to be done so we can accurately track where our website visitors come from and replace our old tracking system.</t>
  </si>
  <si>
    <t>Project / Initiative</t>
  </si>
  <si>
    <t>Deliverable / Goal</t>
  </si>
  <si>
    <t>Expected Outcome</t>
  </si>
  <si>
    <t>Actual Status</t>
  </si>
  <si>
    <t>Outstanding / Next Steps</t>
  </si>
  <si>
    <t>Status Summary</t>
  </si>
  <si>
    <t>Jira Ticket</t>
  </si>
  <si>
    <t>Reliant Team / Owner</t>
  </si>
  <si>
    <t>Key Notes</t>
  </si>
  <si>
    <t>Jessica Question</t>
  </si>
  <si>
    <t>Jessica Action</t>
  </si>
  <si>
    <t>Unified Marketing Phase 1</t>
  </si>
  <si>
    <t>Standard UTM Integration (Eloqua / Marketo)</t>
  </si>
  <si>
    <t>Update Eloqua &amp; Marketo with standard UTM values, URL for analysis, and 1st-party cookie info.</t>
  </si>
  <si>
    <t>Eloqua &amp; App Cloud Lite updated with required fields.</t>
  </si>
  <si>
    <t>Marketo integration on hold due to migration back to Eloqua and pending Tealium functionality replication (no target date).</t>
  </si>
  <si>
    <t>Konstantin/Kim</t>
  </si>
  <si>
    <t>Establishes baseline standard UTM capture into Marketing Automation Tool</t>
  </si>
  <si>
    <t>None at this time</t>
  </si>
  <si>
    <t>Tray UTM &amp; URL Consumption</t>
  </si>
  <si>
    <t>Tray to consume UTM fields and URLs for analysis.</t>
  </si>
  <si>
    <t>Tray captures 4/6 UTMs and 2/4 URLs.</t>
  </si>
  <si>
    <t>Capture missing 2 UTMs &amp; 2 URLs from App Cloud Lite and route to Tray (CEM-50696).</t>
  </si>
  <si>
    <t>https://cisco-jira.atlassian.net/browse/CEM-50696</t>
  </si>
  <si>
    <t xml:space="preserve">Trey/Tray Engineering </t>
  </si>
  <si>
    <t>Preparation for standardized tracking fields to be captured in preparation to align to lead records</t>
  </si>
  <si>
    <t>CCID Assignment for Organic/Direct</t>
  </si>
  <si>
    <t>Tray to assign separate CCID for Organic &amp; Direct traffic.</t>
  </si>
  <si>
    <t>Not included in Phase 1 scope.</t>
  </si>
  <si>
    <t>Terminology updates provided to Nadia; awaiting prioritization.</t>
  </si>
  <si>
    <t>Nadia / Marketing Leadership</t>
  </si>
  <si>
    <t>Shows sellers lead is organic or direct traffic and not an error and signals to reporting teams that this is a system required marker and not a driving channel</t>
  </si>
  <si>
    <t>Tealium Weblog Suppression</t>
  </si>
  <si>
    <t>Tealium to ignore IDs/UTMs on internal pages when writing to weblogs.</t>
  </si>
  <si>
    <t>Weblogs stopped capturing internal IDs in July.</t>
  </si>
  <si>
    <t>Verify that suppression is working as expected.</t>
  </si>
  <si>
    <t>Amanda</t>
  </si>
  <si>
    <t>Prevents weblogs from capturing mid-journey tracking parameters on internal pages, ensuring Activity IDs only record the true driving marketing initiative and keeping touchpoint reporting accurate.</t>
  </si>
  <si>
    <t>Tealium-to-Eloqua Parameter Pass</t>
  </si>
  <si>
    <t>Tealium to capture new parameters and pass to Eloqua.</t>
  </si>
  <si>
    <t>All validated fields passing to Eloqua. Content ID descoped to Phase 2.</t>
  </si>
  <si>
    <t>Completed for core fields. Content ID shifted to Phase 2.</t>
  </si>
  <si>
    <t>Konstantin/Stephanie</t>
  </si>
  <si>
    <t>Capturing URL parameters, first-party cookies, and key journey URLs directly in Eloqua enables a clearer picture of the customers journey and the marketing initiatives that led to an offer being consumed</t>
  </si>
  <si>
    <r>
      <t xml:space="preserve">Is this something I can help to drive with Konstantin?  Or is this also a nice to have?
</t>
    </r>
    <r>
      <rPr>
        <sz val="11"/>
        <color theme="5"/>
        <rFont val="CiscoSansTT"/>
        <family val="2"/>
      </rPr>
      <t>Amanda definitely not a nice to have it is a must have - This one is down to me I knew he descoped it from phase 1 and I forgot about it - I will raise it with him again</t>
    </r>
  </si>
  <si>
    <t>SFDC Integration</t>
  </si>
  <si>
    <t>Pass UTM and URL values to SFDC.</t>
  </si>
  <si>
    <t>Descoped due to One Cisco CRM (OCC) Project.</t>
  </si>
  <si>
    <t>No changes expected in H1 FY27.</t>
  </si>
  <si>
    <t>One Cisco CRM (OCC) Team</t>
  </si>
  <si>
    <t>Passing UTM values to SFDC only benefits legacy last-touch lead reporting, as it does not affect full touchpoint attribution but directly delays our ability to decommission the CTT tool.</t>
  </si>
  <si>
    <r>
      <t xml:space="preserve">Is this a Chris or a Nadia question?  Is there an existing field/fields we can use?  This is why you put in the fix to OCID tool correct?
</t>
    </r>
    <r>
      <rPr>
        <sz val="11"/>
        <color theme="5"/>
        <rFont val="CiscoSansTT"/>
        <family val="2"/>
      </rPr>
      <t>Amanda - I did try the route of existing fields and Chris said no - it is one field for one item - which I understand, but does mean I can't have anything for a long time and is why we have had to add reporting channel and now the new changes to Activity ID and Offer ID</t>
    </r>
  </si>
  <si>
    <t>Jessica to talk to Chris, if we cannot send UTM we cannot decommission, push for existing field not being used, talk to Lori about it too
need UTM ID somewhere to avoid maintaining multiple id systems</t>
  </si>
  <si>
    <t>Workfront Data Standardization</t>
  </si>
  <si>
    <t>Workfront to standardize data element capture for tagging, tracking, and attribution models.</t>
  </si>
  <si>
    <t>Channel ID and Content IDs created in Workfront with governed lists.</t>
  </si>
  <si>
    <t>First round of testing issues awaiting scheduling in next sprint.</t>
  </si>
  <si>
    <t>Workfront Admin / Sprint Planning Team</t>
  </si>
  <si>
    <t>Creating Content and Channel IDs in Workfront creates the  foundation for centralizing our tagging and tracking directly within Workfront, and move away from the standalone tool.</t>
  </si>
  <si>
    <t>Unified Marketing Phase 2</t>
  </si>
  <si>
    <t>Content ID Web Capture &amp; Routing</t>
  </si>
  <si>
    <t>Content ID captured by Tealium and passed to Eloqua.</t>
  </si>
  <si>
    <t>Descoped from Phase 1.</t>
  </si>
  <si>
    <t>Amanda / Konstantin / Tealium Team</t>
  </si>
  <si>
    <t>Enabling Tealium to capture Content IDs from web pages and route them through Eloqua to Tray provides the initial data trigger required for Tray to begin appending lead records with Workfront data instead of CTT data, moving us towards decommissioning the CTT tool</t>
  </si>
  <si>
    <t>No action for Jessica at this time
Web team release on Sept 11
Amanda speak to Christy on process first, document for Konstantin what he needs to pick up when and what to do with it</t>
  </si>
  <si>
    <t>Web Page Content ID Implementation</t>
  </si>
  <si>
    <t>Add Content ID to web pages.</t>
  </si>
  <si>
    <t>Slot for adding the tag to AEM pages has been delivererd, creating the text box to add the value to the page is scheduled for September 4th Release</t>
  </si>
  <si>
    <t>Work with Christy on process for automatically adding IDs to new pages during creation.</t>
  </si>
  <si>
    <t>https://cisco-mktg.atlassian.net/browse/MUSE-505
https://cisco-mktg.atlassian.net/browse/MUSE-504</t>
  </si>
  <si>
    <t>Christy /Stephanie/ Web Publishing Team</t>
  </si>
  <si>
    <t>A Content ID on each AEM webpage allows web analytics tools to track precisely which specific piece of content a user interacted with to measure content performance and attribute lead activity accurately.</t>
  </si>
  <si>
    <r>
      <t xml:space="preserve">Let me know if I can help here or what you run into.  I think this was scopeed as possible but not sure where it sits on Christy's roadmap?
</t>
    </r>
    <r>
      <rPr>
        <sz val="11"/>
        <color theme="5"/>
        <rFont val="CiscoSansTT"/>
        <family val="2"/>
      </rPr>
      <t>Amanda - I need to speak to both Christy and Jim to ensure they are inline with the same process, because it is manual who tells who, what and when, but we can't implement until after the release in Septemenber - but will be good to be ready with a process</t>
    </r>
  </si>
  <si>
    <t>Same as above</t>
  </si>
  <si>
    <t>Tray Transaction Log Capture</t>
  </si>
  <si>
    <t>Tray to pull Channel &amp; Content IDs from Workfront tables into Transaction Log.</t>
  </si>
  <si>
    <t>On hold for H1 FY27.</t>
  </si>
  <si>
    <t>Data Architecture Team / Tray Dev</t>
  </si>
  <si>
    <t>Capturing the Channel and Content IDs in Tray allows us to match user interactions back to Workfront records and append strategic data elements to our logs that will eventually be passed to SFDC for Seller Enrichment and Lead to Marketing Initiative alignment</t>
  </si>
  <si>
    <t>No action for Jessica at this time
Tray, if WF go to WF data to pick up extra information to pass downstream (can't push yet but we can monitor), prepare for decommission
Trey and Nadia said potentially Q2
Lead Resume not an option (are they even scoping engagement?)</t>
  </si>
  <si>
    <t>SFDC Data Alignment</t>
  </si>
  <si>
    <t>Pass new UTMs and Tray data to SFDC for FY27 lead data attribution.</t>
  </si>
  <si>
    <t>On hold until post-OCC Rollout (Expected FY28).</t>
  </si>
  <si>
    <t>No new values in SFDC for FY27.</t>
  </si>
  <si>
    <t>Passing the channel and content ID and subsequent enriched data elements from Tray into Salesforce ensures sales and reporting teams have full visibility into accurate alignment of the lead to the initial marketing initiative.</t>
  </si>
  <si>
    <t>Include this in earlier discussion with Chris, probably close to 6 fields</t>
  </si>
  <si>
    <t>Pivot Project for CTT Alignment</t>
  </si>
  <si>
    <t>CTT Tool Attribute Expansion</t>
  </si>
  <si>
    <t>Add standard Workfront data attributes to Campaign Tagging &amp; Tracking (CTT) Tool.</t>
  </si>
  <si>
    <t>BRD completed and handed to Dev team for analysis (03/08/2026).</t>
  </si>
  <si>
    <t>Sanjay/Prakash</t>
  </si>
  <si>
    <t>Ensures reporting teams can use identical logic across Workfront &amp; CTT data without complex transformations as we wait for all teams to be onboarded to Workfront and subject to limitations of getting amendments in SFDC in FY27</t>
  </si>
  <si>
    <t>CTT Request Portal Expansion</t>
  </si>
  <si>
    <t>Add standard data attributes to the CTT Request Portal.</t>
  </si>
  <si>
    <t>Awaiting dev sprint scheduling and leadership sign-off on alignment.</t>
  </si>
  <si>
    <t>Velu</t>
  </si>
  <si>
    <t>Ensures that teams not yet using Workfront can still capture standardized data while the legacy CTT tool remains in use.</t>
  </si>
  <si>
    <t>Workfront-to-CTT CCID/OID Feasibility</t>
  </si>
  <si>
    <t>Conduct feasibility study for automating CCID/OID flow from Workfront into CTT tool.</t>
  </si>
  <si>
    <t>Scheduled for H2 FY26 due to resource constraints (OCC &amp; Business Ready Dataset).</t>
  </si>
  <si>
    <t>Finalize BRD (scheduled 07/07/2026); await prioritization following feasibility results.</t>
  </si>
  <si>
    <t>Proposing a feasibility study before requesting a full integration allows us to confirm whether Workfront can technically connect with the CTT Tool's Oracle database, while ensuring the required development effort truly justifies the business value and aligns with our long-term goals.</t>
  </si>
  <si>
    <r>
      <t xml:space="preserve">Let me know if I can help here.
</t>
    </r>
    <r>
      <rPr>
        <sz val="11"/>
        <color theme="5"/>
        <rFont val="CiscoSansTT"/>
        <family val="2"/>
      </rPr>
      <t>Amanda - I will finish the BRD this week and then see what the outcome is when I give it Trey and Nadia, but the conversation they had with Chris is that this wouldn't happen until H2</t>
    </r>
  </si>
  <si>
    <t>Not looking yet, H2 dev if any</t>
  </si>
  <si>
    <t>CCID Creation Automation</t>
  </si>
  <si>
    <t>Automate CCID creation from Workfront to CTT Tool.</t>
  </si>
  <si>
    <t>TBD</t>
  </si>
  <si>
    <t>Pending outcome of feasibility study and prioritization.</t>
  </si>
  <si>
    <t>Dev Team / Business Architecture</t>
  </si>
  <si>
    <t>Future state optimization.</t>
  </si>
  <si>
    <t>Workfront Process</t>
  </si>
  <si>
    <t>Amend Workfront process so MRM creates IDs for all non-integrated marketing campaigns lacking pre-existing IDs.</t>
  </si>
  <si>
    <t>Scope defined; operational requirements identified.</t>
  </si>
  <si>
    <t>Update Workfront workflow rules and align with MRM team on expanded creation process.</t>
  </si>
  <si>
    <t>Christy/Stephanie/Amanda</t>
  </si>
  <si>
    <t>Closes coverage gaps by ensuring 100% of campaigns receive standardized IDs regardless of origin team.</t>
  </si>
  <si>
    <t>Status</t>
  </si>
  <si>
    <t>#E5E7EB</t>
  </si>
  <si>
    <t>Requrirements to Be Defined</t>
  </si>
  <si>
    <t>Workflow Status</t>
  </si>
  <si>
    <t>Category / Meaning</t>
  </si>
  <si>
    <t>Primary Color (Hex)</t>
  </si>
  <si>
    <t>Cell Fill Hex</t>
  </si>
  <si>
    <t>Text Hex</t>
  </si>
  <si>
    <t>Source / Rationale</t>
  </si>
  <si>
    <t>Discovery / Backlog</t>
  </si>
  <si>
    <t>#B4B9C0</t>
  </si>
  <si>
    <t>#F3F4F6</t>
  </si>
  <si>
    <t>#374151</t>
  </si>
  <si>
    <r>
      <t>Brand Cool Grey</t>
    </r>
    <r>
      <rPr>
        <sz val="11"/>
        <color theme="1"/>
        <rFont val="Arial"/>
        <family val="2"/>
      </rPr>
      <t xml:space="preserve"> — Neutral tone for items not yet scoped.</t>
    </r>
  </si>
  <si>
    <t>Queued / Planned</t>
  </si>
  <si>
    <t>#525E6C</t>
  </si>
  <si>
    <t>#1F2937</t>
  </si>
  <si>
    <r>
      <t>Brand Slate</t>
    </r>
    <r>
      <rPr>
        <sz val="11"/>
        <color theme="1"/>
        <rFont val="Arial"/>
        <family val="2"/>
      </rPr>
      <t xml:space="preserve"> — Holds weight to show readiness without signaling active work.</t>
    </r>
  </si>
  <si>
    <t>Scoping / Technical Design</t>
  </si>
  <si>
    <t>#02C8FF</t>
  </si>
  <si>
    <t>#E0F2FE</t>
  </si>
  <si>
    <t>#0369A1</t>
  </si>
  <si>
    <r>
      <t>Brand Cyan</t>
    </r>
    <r>
      <rPr>
        <sz val="11"/>
        <color theme="1"/>
        <rFont val="Arial"/>
        <family val="2"/>
      </rPr>
      <t xml:space="preserve"> — Soft blue indicating discovery and design work.</t>
    </r>
  </si>
  <si>
    <t>Active Build</t>
  </si>
  <si>
    <t>#0A60FF</t>
  </si>
  <si>
    <t>#DBEAFE</t>
  </si>
  <si>
    <t>#1E40AF</t>
  </si>
  <si>
    <r>
      <t>Brand Blue</t>
    </r>
    <r>
      <rPr>
        <sz val="11"/>
        <color theme="1"/>
        <rFont val="Arial"/>
        <family val="2"/>
      </rPr>
      <t xml:space="preserve"> — High-energy vibrant blue for core active execution.</t>
    </r>
  </si>
  <si>
    <t>QA / Validation</t>
  </si>
  <si>
    <t>#7C3AED</t>
  </si>
  <si>
    <t>#F3E8FF</t>
  </si>
  <si>
    <t>#6B21A8</t>
  </si>
  <si>
    <r>
      <t>Complementary Purple</t>
    </r>
    <r>
      <rPr>
        <sz val="11"/>
        <color theme="1"/>
        <rFont val="Arial"/>
        <family val="2"/>
      </rPr>
      <t xml:space="preserve"> — Distinct transition state between dev and deployment.</t>
    </r>
  </si>
  <si>
    <t>Live / Fully Complete</t>
  </si>
  <si>
    <t>#20A767</t>
  </si>
  <si>
    <t>#E6F7F0</t>
  </si>
  <si>
    <t>#065F46</t>
  </si>
  <si>
    <r>
      <t>Complementary Emerald</t>
    </r>
    <r>
      <rPr>
        <sz val="11"/>
        <color theme="1"/>
        <rFont val="Arial"/>
        <family val="2"/>
      </rPr>
      <t xml:space="preserve"> — Clear green indicator for fully deployed status.</t>
    </r>
  </si>
  <si>
    <t>Partial Success / Milestone</t>
  </si>
  <si>
    <t>#FF9000</t>
  </si>
  <si>
    <t>#FFEDD5</t>
  </si>
  <si>
    <t>#9A3412</t>
  </si>
  <si>
    <r>
      <t>Brand Orange</t>
    </r>
    <r>
      <rPr>
        <sz val="11"/>
        <color theme="1"/>
        <rFont val="Arial"/>
        <family val="2"/>
      </rPr>
      <t xml:space="preserve"> — Indicates progress toward completion with remaining scope.</t>
    </r>
  </si>
  <si>
    <t>Blocked</t>
  </si>
  <si>
    <t>Critical Hold / Error</t>
  </si>
  <si>
    <t>#DC2626</t>
  </si>
  <si>
    <t>#FEE2E2</t>
  </si>
  <si>
    <t>#991B1B</t>
  </si>
  <si>
    <r>
      <t>Complementary Red</t>
    </r>
    <r>
      <rPr>
        <sz val="11"/>
        <color theme="1"/>
        <rFont val="Arial"/>
        <family val="2"/>
      </rPr>
      <t xml:space="preserve"> — Immediate visual signal requiring attention.</t>
    </r>
  </si>
  <si>
    <r>
      <t xml:space="preserve">Confirm with Chris on solid date and delivery on Sept 11
</t>
    </r>
    <r>
      <rPr>
        <sz val="11"/>
        <color theme="5"/>
        <rFont val="CiscoSansTT"/>
        <family val="2"/>
      </rPr>
      <t>Amanda - Testing complete in Stage Environment - so I am hoping we can get this released earlier</t>
    </r>
  </si>
  <si>
    <t>Document requirements for Tealium in preparation for September web page release (working with Konstantin).
15/08/2026 - Item put in backlog and expected data flow and process validated</t>
  </si>
  <si>
    <t>Awaiting dev release sprint times and leadership agreement on Campaign/Program alignment.
17/08/2026 - Grooming Session and Sign-off package agreed</t>
  </si>
  <si>
    <t xml:space="preserve">Who is making this decision?  Can we work with Jasper to have this data captured in the "Lead Resume" if we cannot send direct to SFDC?
</t>
  </si>
  <si>
    <t xml:space="preserve">How does this differ from the Phase 1 item?
</t>
  </si>
  <si>
    <r>
      <rPr>
        <sz val="11"/>
        <color rgb="FF07182D"/>
        <rFont val="CiscoSansTT"/>
        <family val="2"/>
      </rPr>
      <t xml:space="preserve">Konstantin mentioned that Tealium was transitioning to Adobe Capture?
For Marketo integration, is that a discussion with Kim to build into Marketo or just a consumption from Tealium?
</t>
    </r>
    <r>
      <rPr>
        <sz val="11"/>
        <color rgb="FF0A60FF"/>
        <rFont val="CiscoSansTT"/>
        <family val="2"/>
      </rPr>
      <t xml:space="preserve">Amanda - I don't know the answer to that - I will speak to Kim and find out
</t>
    </r>
    <r>
      <rPr>
        <sz val="11"/>
        <color rgb="FF07182D"/>
        <rFont val="CiscoSansTT"/>
        <family val="2"/>
      </rPr>
      <t>Jess: Transitionng from Tealium to Adobe Data Capture, will this fix this?</t>
    </r>
  </si>
  <si>
    <r>
      <t xml:space="preserve">What action should I take with Chris on this, of the asks to prioritize in Sprint what is the order?
</t>
    </r>
    <r>
      <rPr>
        <sz val="11"/>
        <color theme="5"/>
        <rFont val="CiscoSansTT"/>
        <family val="2"/>
      </rPr>
      <t>Amanda - I want this first as it is left over from Phase 1 - Current Status in Jira says delivery on September 11th - wish we could have it a bit earliest</t>
    </r>
  </si>
  <si>
    <r>
      <t xml:space="preserve">I assume this is a nice to have vs have to have?
</t>
    </r>
    <r>
      <rPr>
        <sz val="11"/>
        <color theme="5"/>
        <rFont val="CiscoSansTT"/>
        <family val="2"/>
      </rPr>
      <t>Amanda - No I want this to show it is not an error when the default ID is used - this was missed in Phase 1 although it doesn't impact attribution - we did ask for it on behalf of Lori so that the sellers have some idea of where the lead is from</t>
    </r>
    <r>
      <rPr>
        <sz val="11"/>
        <color theme="1"/>
        <rFont val="CiscoSansTT"/>
        <family val="2"/>
      </rPr>
      <t xml:space="preserve">
</t>
    </r>
  </si>
  <si>
    <t xml:space="preserve">No action at this time, Amanda checking with Nadia for Jira ID, if not there Jessica to push for creation by 
</t>
  </si>
  <si>
    <t>Jessica to follow up on Amanda's email to Konstantin and confirm need</t>
  </si>
  <si>
    <r>
      <t xml:space="preserve">This one seems super important, let me know if it lags or you run into blockers
</t>
    </r>
    <r>
      <rPr>
        <sz val="11"/>
        <color theme="5"/>
        <rFont val="CiscoSansTT"/>
        <family val="2"/>
      </rPr>
      <t xml:space="preserve">Amanda - This was my fault - I let it drop - it is now back up there in my "to do" list - Email sent to Konstantin 05/08/2026 for backlog item to be created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</si>
</sst>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1"/>
      <color theme="0"/>
      <name val="Aptos Narrow"/>
      <family val="2"/>
      <scheme val="minor"/>
    </font>
    <font>
      <sz val="11"/>
      <color theme="1"/>
      <name val="Arial"/>
      <family val="2"/>
    </font>
    <font>
      <b/>
      <sz val="11"/>
      <color theme="1"/>
      <name val="Arial"/>
      <family val="2"/>
    </font>
    <font>
      <u/>
      <sz val="11"/>
      <color theme="10"/>
      <name val="Aptos Narrow"/>
      <family val="2"/>
      <scheme val="minor"/>
    </font>
    <font>
      <b/>
      <sz val="11"/>
      <color theme="1"/>
      <name val="CiscoSansTT"/>
      <family val="2"/>
    </font>
    <font>
      <sz val="11"/>
      <color theme="1"/>
      <name val="CiscoSansTT"/>
      <family val="2"/>
    </font>
    <font>
      <b/>
      <sz val="10"/>
      <color theme="1"/>
      <name val="Google Sans Text"/>
      <family val="2"/>
    </font>
    <font>
      <sz val="10"/>
      <color theme="1"/>
      <name val="Google Sans Text"/>
      <family val="2"/>
    </font>
    <font>
      <sz val="11"/>
      <color rgb="FF374151"/>
      <name val="Aptos Narrow"/>
      <family val="2"/>
      <scheme val="minor"/>
    </font>
    <font>
      <sz val="11"/>
      <color rgb="FF1F2937"/>
      <name val="Aptos Narrow"/>
      <family val="2"/>
      <scheme val="minor"/>
    </font>
    <font>
      <b/>
      <sz val="18"/>
      <color theme="0"/>
      <name val="CiscoSansTT"/>
      <family val="2"/>
    </font>
    <font>
      <b/>
      <sz val="16"/>
      <color theme="1"/>
      <name val="CiscoSansTT"/>
      <family val="2"/>
    </font>
    <font>
      <sz val="16"/>
      <color theme="1"/>
      <name val="CiscoSansTT"/>
      <family val="2"/>
    </font>
    <font>
      <sz val="18"/>
      <color theme="0"/>
      <name val="CiscoSansTT"/>
      <family val="2"/>
    </font>
    <font>
      <sz val="14"/>
      <name val="CiscoSansTT"/>
      <family val="2"/>
    </font>
    <font>
      <sz val="11"/>
      <color rgb="FFFF0000"/>
      <name val="CiscoSansTT"/>
      <family val="2"/>
    </font>
    <font>
      <sz val="11"/>
      <color theme="5"/>
      <name val="CiscoSansTT"/>
      <family val="2"/>
    </font>
    <font>
      <sz val="11"/>
      <color rgb="FF07182D"/>
      <name val="CiscoSansTT"/>
      <family val="2"/>
    </font>
    <font>
      <sz val="11"/>
      <color rgb="FF0A60FF"/>
      <name val="CiscoSansTT"/>
      <family val="2"/>
    </font>
    <font>
      <sz val="11"/>
      <color rgb="FF000000"/>
      <name val="CiscoSansTT"/>
      <family val="2"/>
    </font>
    <font>
      <i/>
      <sz val="11"/>
      <color theme="1"/>
      <name val="CiscoSansTT"/>
      <family val="2"/>
    </font>
    <font>
      <sz val="11"/>
      <name val="CiscoSansTT"/>
      <family val="2"/>
    </font>
  </fonts>
  <fills count="16">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rgb="FF20A767"/>
        <bgColor indexed="64"/>
      </patternFill>
    </fill>
    <fill>
      <patternFill patternType="solid">
        <fgColor rgb="FFB4B9C0"/>
        <bgColor indexed="64"/>
      </patternFill>
    </fill>
    <fill>
      <patternFill patternType="solid">
        <fgColor rgb="FF525E6C"/>
        <bgColor indexed="64"/>
      </patternFill>
    </fill>
    <fill>
      <patternFill patternType="solid">
        <fgColor rgb="FF02C8FF"/>
        <bgColor indexed="64"/>
      </patternFill>
    </fill>
    <fill>
      <patternFill patternType="solid">
        <fgColor rgb="FF0A60FF"/>
        <bgColor indexed="64"/>
      </patternFill>
    </fill>
    <fill>
      <patternFill patternType="solid">
        <fgColor rgb="FF7C3AED"/>
        <bgColor indexed="64"/>
      </patternFill>
    </fill>
    <fill>
      <patternFill patternType="solid">
        <fgColor rgb="FFFF9000"/>
        <bgColor indexed="64"/>
      </patternFill>
    </fill>
    <fill>
      <patternFill patternType="solid">
        <fgColor rgb="FFDC2626"/>
        <bgColor indexed="64"/>
      </patternFill>
    </fill>
    <fill>
      <patternFill patternType="solid">
        <fgColor rgb="FFF3F4F6"/>
        <bgColor indexed="64"/>
      </patternFill>
    </fill>
    <fill>
      <patternFill patternType="solid">
        <fgColor rgb="FFE5E7EB"/>
        <bgColor indexed="64"/>
      </patternFill>
    </fill>
    <fill>
      <patternFill patternType="solid">
        <fgColor theme="9" tint="0.59999389629810485"/>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8">
    <xf numFmtId="0" fontId="0" fillId="0" borderId="0" xfId="0"/>
    <xf numFmtId="0" fontId="3" fillId="0" borderId="0" xfId="0" applyFont="1" applyAlignment="1">
      <alignment vertical="center" wrapText="1"/>
    </xf>
    <xf numFmtId="0" fontId="2" fillId="0" borderId="0" xfId="0" applyFont="1" applyAlignment="1">
      <alignment vertical="center" wrapText="1"/>
    </xf>
    <xf numFmtId="0" fontId="4" fillId="0" borderId="0" xfId="1" applyAlignment="1">
      <alignment vertical="center" wrapText="1"/>
    </xf>
    <xf numFmtId="0" fontId="5" fillId="0" borderId="0" xfId="0" applyFont="1" applyAlignment="1">
      <alignment vertical="center" wrapText="1"/>
    </xf>
    <xf numFmtId="0" fontId="6" fillId="0" borderId="0" xfId="0" applyFont="1"/>
    <xf numFmtId="0" fontId="6" fillId="0" borderId="0" xfId="0" applyFont="1" applyAlignment="1">
      <alignment vertical="center" wrapText="1"/>
    </xf>
    <xf numFmtId="0" fontId="0" fillId="4" borderId="0" xfId="0" applyFill="1"/>
    <xf numFmtId="0" fontId="7" fillId="0" borderId="0" xfId="0" applyFont="1" applyAlignment="1">
      <alignment vertical="center" wrapText="1"/>
    </xf>
    <xf numFmtId="0" fontId="8" fillId="0" borderId="0" xfId="0" applyFont="1" applyAlignment="1">
      <alignment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1" fillId="11" borderId="0" xfId="0" applyFont="1" applyFill="1"/>
    <xf numFmtId="0" fontId="9" fillId="12" borderId="0" xfId="0" applyFont="1" applyFill="1"/>
    <xf numFmtId="0" fontId="10" fillId="13" borderId="0" xfId="0" applyFont="1" applyFill="1"/>
    <xf numFmtId="0" fontId="5" fillId="14" borderId="0" xfId="0" applyFont="1" applyFill="1" applyAlignment="1">
      <alignment vertical="center" wrapText="1"/>
    </xf>
    <xf numFmtId="0" fontId="6" fillId="14" borderId="0" xfId="0" applyFont="1" applyFill="1" applyAlignment="1">
      <alignment vertical="center" wrapText="1"/>
    </xf>
    <xf numFmtId="0" fontId="12" fillId="0" borderId="0" xfId="0" applyFont="1" applyAlignment="1">
      <alignment horizontal="left" vertical="center" wrapText="1"/>
    </xf>
    <xf numFmtId="0" fontId="12" fillId="0" borderId="0" xfId="0" applyFont="1" applyAlignment="1">
      <alignment horizontal="center" vertical="center" wrapText="1"/>
    </xf>
    <xf numFmtId="0" fontId="13" fillId="0" borderId="0" xfId="0" applyFont="1" applyAlignment="1">
      <alignment horizontal="center"/>
    </xf>
    <xf numFmtId="0" fontId="14" fillId="3" borderId="0" xfId="0" applyFont="1" applyFill="1"/>
    <xf numFmtId="0" fontId="6" fillId="0" borderId="0" xfId="0" applyFont="1" applyAlignment="1">
      <alignment vertical="top"/>
    </xf>
    <xf numFmtId="0" fontId="11" fillId="3" borderId="0" xfId="0" applyFont="1" applyFill="1" applyAlignment="1">
      <alignment vertical="center"/>
    </xf>
    <xf numFmtId="0" fontId="11" fillId="3" borderId="0" xfId="0" applyFont="1" applyFill="1" applyAlignment="1">
      <alignment vertical="center" wrapText="1"/>
    </xf>
    <xf numFmtId="0" fontId="6" fillId="0" borderId="0" xfId="0" applyFont="1" applyAlignment="1">
      <alignment wrapText="1"/>
    </xf>
    <xf numFmtId="0" fontId="11" fillId="2" borderId="0" xfId="0" applyFont="1" applyFill="1" applyAlignment="1">
      <alignment vertical="center" wrapText="1"/>
    </xf>
    <xf numFmtId="0" fontId="6" fillId="15" borderId="0" xfId="0" applyFont="1" applyFill="1" applyAlignment="1">
      <alignment wrapText="1"/>
    </xf>
    <xf numFmtId="0" fontId="6" fillId="15" borderId="0" xfId="0" applyFont="1" applyFill="1"/>
    <xf numFmtId="0" fontId="16"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wrapText="1"/>
    </xf>
  </cellXfs>
  <cellStyles count="2">
    <cellStyle name="Hyperlink" xfId="1" builtinId="8"/>
    <cellStyle name="Normal" xfId="0" builtinId="0"/>
  </cellStyles>
  <dxfs count="17">
    <dxf>
      <font>
        <color rgb="FF991B1B"/>
      </font>
      <fill>
        <patternFill>
          <bgColor rgb="FFFEE2E2"/>
        </patternFill>
      </fill>
    </dxf>
    <dxf>
      <font>
        <color rgb="FF9A3412"/>
      </font>
      <fill>
        <patternFill>
          <bgColor rgb="FFFFEDD5"/>
        </patternFill>
      </fill>
    </dxf>
    <dxf>
      <font>
        <color rgb="FF1F2937"/>
      </font>
      <fill>
        <patternFill>
          <bgColor rgb="FFE5E7EB"/>
        </patternFill>
      </fill>
    </dxf>
    <dxf>
      <font>
        <color rgb="FF0369A1"/>
      </font>
      <fill>
        <patternFill>
          <bgColor rgb="FFE0F2FE"/>
        </patternFill>
      </fill>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iscoSansTT"/>
        <family val="2"/>
        <scheme val="none"/>
      </font>
      <alignment horizontal="general" vertical="center" textRotation="0" wrapText="1" indent="0" justifyLastLine="0" shrinkToFit="0" readingOrder="0"/>
    </dxf>
    <dxf>
      <font>
        <b/>
        <i val="0"/>
        <strike val="0"/>
        <condense val="0"/>
        <extend val="0"/>
        <outline val="0"/>
        <shadow val="0"/>
        <u val="none"/>
        <vertAlign val="baseline"/>
        <sz val="16"/>
        <color theme="1"/>
        <name val="CiscoSansTT"/>
        <family val="2"/>
        <scheme val="none"/>
      </font>
      <alignment horizontal="center" vertical="center" textRotation="0" wrapText="1" indent="0" justifyLastLine="0" shrinkToFit="0" readingOrder="0"/>
    </dxf>
  </dxfs>
  <tableStyles count="0" defaultTableStyle="TableStyleMedium2" defaultPivotStyle="PivotStyleLight16"/>
  <colors>
    <mruColors>
      <color rgb="FF0369A1"/>
      <color rgb="FFE0F2FE"/>
      <color rgb="FF1F2937"/>
      <color rgb="FFE5E7EB"/>
      <color rgb="FF991B1B"/>
      <color rgb="FF9A3412"/>
      <color rgb="FFFFEDD5"/>
      <color rgb="FFFEE2E2"/>
      <color rgb="FF374151"/>
      <color rgb="FFF3F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F630AA-AFBC-4A45-99D5-5D747FFB27AF}" name="Table1" displayName="Table1" ref="B8:L26" totalsRowShown="0" headerRowDxfId="16" dataDxfId="15">
  <autoFilter ref="B8:L26" xr:uid="{03F630AA-AFBC-4A45-99D5-5D747FFB27AF}"/>
  <tableColumns count="11">
    <tableColumn id="1" xr3:uid="{9300329A-9E88-4F95-84FE-CC47E02BF2A6}" name="Project / Initiative" dataDxfId="14"/>
    <tableColumn id="2" xr3:uid="{46F5AEED-D8FE-4E72-9543-57C323A54735}" name="Deliverable / Goal" dataDxfId="13"/>
    <tableColumn id="3" xr3:uid="{BF4251DE-2DC5-4734-AEF9-D5CF53A53886}" name="Expected Outcome" dataDxfId="12"/>
    <tableColumn id="4" xr3:uid="{5B675342-8B30-44C5-A50B-018BC122E1BB}" name="Actual Status" dataDxfId="11"/>
    <tableColumn id="5" xr3:uid="{F8E1A51D-E861-4083-AA63-B957B8E9963C}" name="Outstanding / Next Steps" dataDxfId="10"/>
    <tableColumn id="6" xr3:uid="{7BC9A584-CD7E-44D7-9651-80564581C5DE}" name="Status Summary" dataDxfId="9"/>
    <tableColumn id="7" xr3:uid="{F723E9A0-DAFD-422A-8E4D-F740CA5DCBB8}" name="Jira Ticket" dataDxfId="8"/>
    <tableColumn id="8" xr3:uid="{F8ED4650-DBB4-4EC4-AD38-BDA67228935C}" name="Reliant Team / Owner" dataDxfId="7"/>
    <tableColumn id="9" xr3:uid="{5B00DEDF-1B3C-431E-B450-166284CDD71A}" name="Key Notes" dataDxfId="6"/>
    <tableColumn id="10" xr3:uid="{FE21B0E8-CF6D-43D6-9B8A-D1EE6F01B4CB}" name="Jessica Question" dataDxfId="5"/>
    <tableColumn id="11" xr3:uid="{B37B5225-2810-4976-9149-B87F9798042F}" name="Jessica Action" dataDxfId="4"/>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Cisco FY26">
      <a:dk1>
        <a:srgbClr val="07182D"/>
      </a:dk1>
      <a:lt1>
        <a:srgbClr val="FFFFFF"/>
      </a:lt1>
      <a:dk2>
        <a:srgbClr val="525E6C"/>
      </a:dk2>
      <a:lt2>
        <a:srgbClr val="B4B9C0"/>
      </a:lt2>
      <a:accent1>
        <a:srgbClr val="02C8FF"/>
      </a:accent1>
      <a:accent2>
        <a:srgbClr val="0A60FF"/>
      </a:accent2>
      <a:accent3>
        <a:srgbClr val="FF007F"/>
      </a:accent3>
      <a:accent4>
        <a:srgbClr val="FF9000"/>
      </a:accent4>
      <a:accent5>
        <a:srgbClr val="D6D6D6"/>
      </a:accent5>
      <a:accent6>
        <a:srgbClr val="6B6B6B"/>
      </a:accent6>
      <a:hlink>
        <a:srgbClr val="07182D"/>
      </a:hlink>
      <a:folHlink>
        <a:srgbClr val="C0C0C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cisco-mktg.atlassian.net/browse/MUSE-505" TargetMode="External"/><Relationship Id="rId2" Type="http://schemas.openxmlformats.org/officeDocument/2006/relationships/hyperlink" Target="https://cisco-jira.atlassian.net/browse/CEM-50696" TargetMode="External"/><Relationship Id="rId1" Type="http://schemas.openxmlformats.org/officeDocument/2006/relationships/hyperlink" Target="https://www.google.com/search?q=https://cisco-jira.atlassian.net/browse/CEM-50696"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F96E2-E75B-4D39-BEF4-4C80D3E73B3D}">
  <dimension ref="B1:C22"/>
  <sheetViews>
    <sheetView zoomScale="74" zoomScaleNormal="74" workbookViewId="0">
      <selection activeCell="E14" sqref="E14"/>
    </sheetView>
  </sheetViews>
  <sheetFormatPr defaultColWidth="9" defaultRowHeight="15.4"/>
  <cols>
    <col min="1" max="1" width="9" style="5"/>
    <col min="2" max="2" width="90.59765625" style="28" customWidth="1"/>
    <col min="3" max="4" width="9" style="5"/>
    <col min="5" max="6" width="45.59765625" style="5" customWidth="1"/>
    <col min="7" max="16384" width="9" style="5"/>
  </cols>
  <sheetData>
    <row r="1" spans="2:3" ht="24.75">
      <c r="B1" s="27" t="s">
        <v>0</v>
      </c>
    </row>
    <row r="2" spans="2:3">
      <c r="B2" s="4" t="s">
        <v>1</v>
      </c>
    </row>
    <row r="3" spans="2:3" ht="46.15">
      <c r="B3" s="6" t="s">
        <v>2</v>
      </c>
    </row>
    <row r="5" spans="2:3">
      <c r="B5" s="4" t="s">
        <v>3</v>
      </c>
    </row>
    <row r="6" spans="2:3" ht="30.75">
      <c r="B6" s="6" t="s">
        <v>4</v>
      </c>
    </row>
    <row r="8" spans="2:3">
      <c r="B8" s="4" t="s">
        <v>5</v>
      </c>
    </row>
    <row r="9" spans="2:3" ht="46.15">
      <c r="B9" s="28" t="s">
        <v>6</v>
      </c>
    </row>
    <row r="12" spans="2:3" ht="24.75">
      <c r="B12" s="29" t="s">
        <v>7</v>
      </c>
    </row>
    <row r="13" spans="2:3">
      <c r="B13" t="s">
        <v>8</v>
      </c>
      <c r="C13" s="5">
        <f>COUNTIF(Items!$G$9:$G$26, Lists!A2)</f>
        <v>1</v>
      </c>
    </row>
    <row r="14" spans="2:3">
      <c r="B14" t="s">
        <v>9</v>
      </c>
      <c r="C14" s="5">
        <f>COUNTIF(Items!$G$9:$G$26, Lists!A3)</f>
        <v>3</v>
      </c>
    </row>
    <row r="15" spans="2:3">
      <c r="B15" t="s">
        <v>10</v>
      </c>
      <c r="C15" s="5">
        <f>COUNTIF(Items!$G$9:$G$26, Lists!A4)</f>
        <v>4</v>
      </c>
    </row>
    <row r="16" spans="2:3">
      <c r="B16" t="s">
        <v>11</v>
      </c>
      <c r="C16" s="5">
        <f>COUNTIF(Items!$G$9:$G$26, Lists!A5)</f>
        <v>1</v>
      </c>
    </row>
    <row r="17" spans="2:3">
      <c r="B17" t="s">
        <v>12</v>
      </c>
      <c r="C17" s="5">
        <f>COUNTIF(Items!$G$9:$G$26, Lists!A6)</f>
        <v>2</v>
      </c>
    </row>
    <row r="18" spans="2:3">
      <c r="B18" t="s">
        <v>13</v>
      </c>
      <c r="C18" s="5">
        <f>COUNTIF(Items!$G$9:$G$26, Lists!A7)</f>
        <v>0</v>
      </c>
    </row>
    <row r="19" spans="2:3">
      <c r="B19" t="s">
        <v>14</v>
      </c>
      <c r="C19" s="5">
        <f>COUNTIF(Items!$G$9:$G$26, Lists!A8)</f>
        <v>1</v>
      </c>
    </row>
    <row r="20" spans="2:3">
      <c r="B20" t="s">
        <v>15</v>
      </c>
      <c r="C20" s="5">
        <f>COUNTIF(Items!$G$9:$G$26, Lists!A9)</f>
        <v>4</v>
      </c>
    </row>
    <row r="22" spans="2:3">
      <c r="B22" s="30" t="s">
        <v>16</v>
      </c>
      <c r="C22" s="31">
        <f>COUNTA(Items!G9:G27)</f>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8C8AE-9F6C-4A1F-8BAC-8CB0C6D35A49}">
  <dimension ref="A1:L27"/>
  <sheetViews>
    <sheetView tabSelected="1" topLeftCell="D1" zoomScale="53" zoomScaleNormal="53" workbookViewId="0">
      <pane ySplit="8" topLeftCell="A20" activePane="bottomLeft" state="frozen"/>
      <selection pane="bottomLeft" activeCell="K29" sqref="K29"/>
    </sheetView>
  </sheetViews>
  <sheetFormatPr defaultColWidth="33.3984375" defaultRowHeight="15.4"/>
  <cols>
    <col min="1" max="1" width="20.59765625" style="5" customWidth="1"/>
    <col min="2" max="3" width="30.59765625" style="5" customWidth="1"/>
    <col min="4" max="6" width="40.59765625" style="5" customWidth="1"/>
    <col min="7" max="9" width="30.59765625" style="5" customWidth="1"/>
    <col min="10" max="10" width="50.59765625" style="5" customWidth="1"/>
    <col min="11" max="11" width="51.73046875" style="5" customWidth="1"/>
    <col min="12" max="16384" width="33.3984375" style="5"/>
  </cols>
  <sheetData>
    <row r="1" spans="1:12" ht="45" customHeight="1">
      <c r="B1" s="26" t="s">
        <v>17</v>
      </c>
      <c r="C1" s="24"/>
      <c r="D1" s="24"/>
      <c r="E1" s="24"/>
      <c r="F1" s="24"/>
      <c r="G1" s="24"/>
      <c r="H1" s="24"/>
      <c r="I1" s="24"/>
      <c r="J1" s="24"/>
    </row>
    <row r="2" spans="1:12">
      <c r="B2" s="36" t="s">
        <v>18</v>
      </c>
      <c r="C2" s="37"/>
      <c r="D2" s="37"/>
      <c r="E2" s="37"/>
      <c r="F2" s="37"/>
      <c r="G2" s="37"/>
      <c r="H2" s="37"/>
      <c r="I2" s="37"/>
      <c r="J2" s="37"/>
    </row>
    <row r="3" spans="1:12">
      <c r="B3" s="37"/>
      <c r="C3" s="37"/>
      <c r="D3" s="37"/>
      <c r="E3" s="37"/>
      <c r="F3" s="37"/>
      <c r="G3" s="37"/>
      <c r="H3" s="37"/>
      <c r="I3" s="37"/>
      <c r="J3" s="37"/>
    </row>
    <row r="4" spans="1:12">
      <c r="B4" s="37"/>
      <c r="C4" s="37"/>
      <c r="D4" s="37"/>
      <c r="E4" s="37"/>
      <c r="F4" s="37"/>
      <c r="G4" s="37"/>
      <c r="H4" s="37"/>
      <c r="I4" s="37"/>
      <c r="J4" s="37"/>
    </row>
    <row r="8" spans="1:12" s="23" customFormat="1" ht="45" customHeight="1">
      <c r="B8" s="21" t="s">
        <v>19</v>
      </c>
      <c r="C8" s="22" t="s">
        <v>20</v>
      </c>
      <c r="D8" s="22" t="s">
        <v>21</v>
      </c>
      <c r="E8" s="22" t="s">
        <v>22</v>
      </c>
      <c r="F8" s="22" t="s">
        <v>23</v>
      </c>
      <c r="G8" s="22" t="s">
        <v>24</v>
      </c>
      <c r="H8" s="22" t="s">
        <v>25</v>
      </c>
      <c r="I8" s="22" t="s">
        <v>26</v>
      </c>
      <c r="J8" s="22" t="s">
        <v>27</v>
      </c>
      <c r="K8" s="22" t="s">
        <v>28</v>
      </c>
      <c r="L8" s="22" t="s">
        <v>29</v>
      </c>
    </row>
    <row r="9" spans="1:12" ht="123">
      <c r="B9" s="4" t="s">
        <v>30</v>
      </c>
      <c r="C9" s="6" t="s">
        <v>31</v>
      </c>
      <c r="D9" s="6" t="s">
        <v>32</v>
      </c>
      <c r="E9" s="6" t="s">
        <v>33</v>
      </c>
      <c r="F9" s="32" t="s">
        <v>34</v>
      </c>
      <c r="G9" s="6" t="s">
        <v>9</v>
      </c>
      <c r="H9" s="4"/>
      <c r="I9" s="6" t="s">
        <v>35</v>
      </c>
      <c r="J9" s="6" t="s">
        <v>36</v>
      </c>
      <c r="K9" s="6" t="s">
        <v>190</v>
      </c>
      <c r="L9" s="6" t="s">
        <v>37</v>
      </c>
    </row>
    <row r="10" spans="1:12" ht="92.25">
      <c r="B10" s="4" t="s">
        <v>30</v>
      </c>
      <c r="C10" s="6" t="s">
        <v>38</v>
      </c>
      <c r="D10" s="6" t="s">
        <v>39</v>
      </c>
      <c r="E10" s="6" t="s">
        <v>40</v>
      </c>
      <c r="F10" s="32" t="s">
        <v>41</v>
      </c>
      <c r="G10" s="6" t="s">
        <v>12</v>
      </c>
      <c r="H10" s="3" t="s">
        <v>42</v>
      </c>
      <c r="I10" s="6" t="s">
        <v>43</v>
      </c>
      <c r="J10" s="6" t="s">
        <v>44</v>
      </c>
      <c r="K10" s="6" t="s">
        <v>191</v>
      </c>
      <c r="L10" s="6" t="s">
        <v>185</v>
      </c>
    </row>
    <row r="11" spans="1:12" ht="107.65">
      <c r="B11" s="4" t="s">
        <v>30</v>
      </c>
      <c r="C11" s="6" t="s">
        <v>45</v>
      </c>
      <c r="D11" s="6" t="s">
        <v>46</v>
      </c>
      <c r="E11" s="6" t="s">
        <v>47</v>
      </c>
      <c r="F11" s="32" t="s">
        <v>48</v>
      </c>
      <c r="G11" s="6" t="s">
        <v>10</v>
      </c>
      <c r="H11" s="3"/>
      <c r="I11" s="6" t="s">
        <v>49</v>
      </c>
      <c r="J11" s="6" t="s">
        <v>50</v>
      </c>
      <c r="K11" s="6" t="s">
        <v>192</v>
      </c>
      <c r="L11" s="33" t="s">
        <v>193</v>
      </c>
    </row>
    <row r="12" spans="1:12" ht="61.5">
      <c r="A12" s="25"/>
      <c r="B12" s="4" t="s">
        <v>30</v>
      </c>
      <c r="C12" s="6" t="s">
        <v>51</v>
      </c>
      <c r="D12" s="6" t="s">
        <v>52</v>
      </c>
      <c r="E12" s="6" t="s">
        <v>53</v>
      </c>
      <c r="F12" s="6" t="s">
        <v>54</v>
      </c>
      <c r="G12" s="6" t="s">
        <v>14</v>
      </c>
      <c r="H12" s="4"/>
      <c r="I12" s="6" t="s">
        <v>55</v>
      </c>
      <c r="J12" s="6" t="s">
        <v>56</v>
      </c>
      <c r="K12" s="6"/>
      <c r="L12" s="6"/>
    </row>
    <row r="13" spans="1:12" ht="92.25">
      <c r="B13" s="4" t="s">
        <v>30</v>
      </c>
      <c r="C13" s="6" t="s">
        <v>57</v>
      </c>
      <c r="D13" s="6" t="s">
        <v>58</v>
      </c>
      <c r="E13" s="6" t="s">
        <v>59</v>
      </c>
      <c r="F13" s="35" t="s">
        <v>60</v>
      </c>
      <c r="G13" s="6" t="s">
        <v>9</v>
      </c>
      <c r="H13" s="4"/>
      <c r="I13" s="6" t="s">
        <v>61</v>
      </c>
      <c r="J13" s="6" t="s">
        <v>62</v>
      </c>
      <c r="K13" s="6" t="s">
        <v>63</v>
      </c>
      <c r="L13" s="6" t="s">
        <v>194</v>
      </c>
    </row>
    <row r="14" spans="1:12" ht="138.4">
      <c r="B14" s="4" t="s">
        <v>30</v>
      </c>
      <c r="C14" s="6" t="s">
        <v>64</v>
      </c>
      <c r="D14" s="6" t="s">
        <v>65</v>
      </c>
      <c r="E14" s="6" t="s">
        <v>66</v>
      </c>
      <c r="F14" s="32" t="s">
        <v>67</v>
      </c>
      <c r="G14" s="6" t="s">
        <v>15</v>
      </c>
      <c r="H14" s="4"/>
      <c r="I14" s="6" t="s">
        <v>68</v>
      </c>
      <c r="J14" s="6" t="s">
        <v>69</v>
      </c>
      <c r="K14" s="6" t="s">
        <v>70</v>
      </c>
      <c r="L14" s="34" t="s">
        <v>71</v>
      </c>
    </row>
    <row r="15" spans="1:12" ht="61.5">
      <c r="B15" s="4" t="s">
        <v>30</v>
      </c>
      <c r="C15" s="6" t="s">
        <v>72</v>
      </c>
      <c r="D15" s="6" t="s">
        <v>73</v>
      </c>
      <c r="E15" s="6" t="s">
        <v>74</v>
      </c>
      <c r="F15" s="6" t="s">
        <v>75</v>
      </c>
      <c r="G15" s="6" t="s">
        <v>8</v>
      </c>
      <c r="H15" s="4"/>
      <c r="I15" s="6" t="s">
        <v>76</v>
      </c>
      <c r="J15" s="6" t="s">
        <v>77</v>
      </c>
      <c r="K15" s="6"/>
      <c r="L15" s="6"/>
    </row>
    <row r="16" spans="1:12" ht="8.1" customHeight="1">
      <c r="B16" s="19"/>
      <c r="C16" s="20"/>
      <c r="D16" s="20"/>
      <c r="E16" s="20"/>
      <c r="F16" s="20"/>
      <c r="G16" s="20"/>
      <c r="H16" s="19"/>
      <c r="I16" s="20"/>
      <c r="J16" s="20"/>
      <c r="K16" s="6"/>
      <c r="L16" s="6"/>
    </row>
    <row r="17" spans="2:12" ht="92.25">
      <c r="B17" s="4" t="s">
        <v>78</v>
      </c>
      <c r="C17" s="6" t="s">
        <v>79</v>
      </c>
      <c r="D17" s="6" t="s">
        <v>80</v>
      </c>
      <c r="E17" s="6" t="s">
        <v>81</v>
      </c>
      <c r="F17" s="35" t="s">
        <v>186</v>
      </c>
      <c r="G17" s="6" t="s">
        <v>10</v>
      </c>
      <c r="H17" s="3"/>
      <c r="I17" s="6" t="s">
        <v>82</v>
      </c>
      <c r="J17" s="6" t="s">
        <v>83</v>
      </c>
      <c r="K17" s="6" t="s">
        <v>195</v>
      </c>
      <c r="L17" s="6" t="s">
        <v>84</v>
      </c>
    </row>
    <row r="18" spans="2:12" ht="123">
      <c r="B18" s="4" t="s">
        <v>78</v>
      </c>
      <c r="C18" s="6" t="s">
        <v>85</v>
      </c>
      <c r="D18" s="6" t="s">
        <v>86</v>
      </c>
      <c r="E18" s="6" t="s">
        <v>87</v>
      </c>
      <c r="F18" s="32" t="s">
        <v>88</v>
      </c>
      <c r="G18" s="6" t="s">
        <v>9</v>
      </c>
      <c r="H18" s="3" t="s">
        <v>89</v>
      </c>
      <c r="I18" s="6" t="s">
        <v>90</v>
      </c>
      <c r="J18" s="6" t="s">
        <v>91</v>
      </c>
      <c r="K18" s="6" t="s">
        <v>92</v>
      </c>
      <c r="L18" s="6" t="s">
        <v>93</v>
      </c>
    </row>
    <row r="19" spans="2:12" ht="138.4">
      <c r="B19" s="4" t="s">
        <v>78</v>
      </c>
      <c r="C19" s="6" t="s">
        <v>94</v>
      </c>
      <c r="D19" s="6" t="s">
        <v>95</v>
      </c>
      <c r="E19" s="6" t="s">
        <v>96</v>
      </c>
      <c r="F19" s="32" t="s">
        <v>48</v>
      </c>
      <c r="G19" s="6" t="s">
        <v>15</v>
      </c>
      <c r="H19" s="4"/>
      <c r="I19" s="6" t="s">
        <v>97</v>
      </c>
      <c r="J19" s="6" t="s">
        <v>98</v>
      </c>
      <c r="K19" s="6" t="s">
        <v>188</v>
      </c>
      <c r="L19" s="6" t="s">
        <v>99</v>
      </c>
    </row>
    <row r="20" spans="2:12" ht="76.900000000000006">
      <c r="B20" s="4" t="s">
        <v>78</v>
      </c>
      <c r="C20" s="6" t="s">
        <v>100</v>
      </c>
      <c r="D20" s="6" t="s">
        <v>101</v>
      </c>
      <c r="E20" s="6" t="s">
        <v>102</v>
      </c>
      <c r="F20" s="32" t="s">
        <v>103</v>
      </c>
      <c r="G20" s="6" t="s">
        <v>15</v>
      </c>
      <c r="H20" s="4"/>
      <c r="I20" s="6" t="s">
        <v>68</v>
      </c>
      <c r="J20" s="6" t="s">
        <v>104</v>
      </c>
      <c r="K20" s="6" t="s">
        <v>189</v>
      </c>
      <c r="L20" s="6" t="s">
        <v>105</v>
      </c>
    </row>
    <row r="21" spans="2:12" ht="8.1" customHeight="1">
      <c r="B21" s="19"/>
      <c r="C21" s="20"/>
      <c r="D21" s="20"/>
      <c r="E21" s="20"/>
      <c r="F21" s="20"/>
      <c r="G21" s="20"/>
      <c r="H21" s="19"/>
      <c r="I21" s="20"/>
      <c r="J21" s="20"/>
      <c r="K21" s="6"/>
      <c r="L21" s="6"/>
    </row>
    <row r="22" spans="2:12" ht="76.900000000000006">
      <c r="B22" s="4" t="s">
        <v>106</v>
      </c>
      <c r="C22" s="6" t="s">
        <v>107</v>
      </c>
      <c r="D22" s="6" t="s">
        <v>108</v>
      </c>
      <c r="E22" s="6" t="s">
        <v>109</v>
      </c>
      <c r="F22" s="6" t="s">
        <v>187</v>
      </c>
      <c r="G22" s="6" t="s">
        <v>12</v>
      </c>
      <c r="H22" s="4"/>
      <c r="I22" s="6" t="s">
        <v>110</v>
      </c>
      <c r="J22" s="6" t="s">
        <v>111</v>
      </c>
      <c r="K22" s="6"/>
      <c r="L22" s="6"/>
    </row>
    <row r="23" spans="2:12" ht="46.15">
      <c r="B23" s="4" t="s">
        <v>106</v>
      </c>
      <c r="C23" s="6" t="s">
        <v>112</v>
      </c>
      <c r="D23" s="6" t="s">
        <v>113</v>
      </c>
      <c r="E23" s="6" t="s">
        <v>109</v>
      </c>
      <c r="F23" s="6" t="s">
        <v>114</v>
      </c>
      <c r="G23" s="6" t="s">
        <v>11</v>
      </c>
      <c r="H23" s="4"/>
      <c r="I23" s="6" t="s">
        <v>115</v>
      </c>
      <c r="J23" s="6" t="s">
        <v>116</v>
      </c>
      <c r="K23" s="6"/>
      <c r="L23" s="6"/>
    </row>
    <row r="24" spans="2:12" ht="92.25">
      <c r="B24" s="4" t="s">
        <v>106</v>
      </c>
      <c r="C24" s="6" t="s">
        <v>117</v>
      </c>
      <c r="D24" s="6" t="s">
        <v>118</v>
      </c>
      <c r="E24" s="6" t="s">
        <v>119</v>
      </c>
      <c r="F24" s="32" t="s">
        <v>120</v>
      </c>
      <c r="G24" s="6" t="s">
        <v>10</v>
      </c>
      <c r="H24" s="4"/>
      <c r="I24" s="6" t="s">
        <v>55</v>
      </c>
      <c r="J24" s="6" t="s">
        <v>121</v>
      </c>
      <c r="K24" s="6" t="s">
        <v>122</v>
      </c>
      <c r="L24" s="6" t="s">
        <v>123</v>
      </c>
    </row>
    <row r="25" spans="2:12" ht="30.75">
      <c r="B25" s="4" t="s">
        <v>106</v>
      </c>
      <c r="C25" s="6" t="s">
        <v>124</v>
      </c>
      <c r="D25" s="6" t="s">
        <v>125</v>
      </c>
      <c r="E25" s="6" t="s">
        <v>126</v>
      </c>
      <c r="F25" s="6" t="s">
        <v>127</v>
      </c>
      <c r="G25" s="6" t="s">
        <v>15</v>
      </c>
      <c r="H25" s="4"/>
      <c r="I25" s="6" t="s">
        <v>128</v>
      </c>
      <c r="J25" s="6" t="s">
        <v>129</v>
      </c>
      <c r="K25" s="6"/>
      <c r="L25" s="6"/>
    </row>
    <row r="26" spans="2:12" ht="46.15">
      <c r="B26" s="4" t="s">
        <v>106</v>
      </c>
      <c r="C26" s="2" t="s">
        <v>130</v>
      </c>
      <c r="D26" s="2" t="s">
        <v>131</v>
      </c>
      <c r="E26" s="2" t="s">
        <v>132</v>
      </c>
      <c r="F26" s="2" t="s">
        <v>133</v>
      </c>
      <c r="G26" s="6" t="s">
        <v>10</v>
      </c>
      <c r="H26" s="2"/>
      <c r="I26" s="6" t="s">
        <v>134</v>
      </c>
      <c r="J26" s="6" t="s">
        <v>135</v>
      </c>
      <c r="K26" s="6"/>
      <c r="L26" s="6"/>
    </row>
    <row r="27" spans="2:12" ht="8.1" customHeight="1">
      <c r="B27" s="19"/>
      <c r="C27" s="20"/>
      <c r="D27" s="20"/>
      <c r="E27" s="20"/>
      <c r="F27" s="20"/>
      <c r="G27" s="20"/>
      <c r="H27" s="19"/>
      <c r="I27" s="20"/>
      <c r="J27" s="20"/>
    </row>
  </sheetData>
  <mergeCells count="1">
    <mergeCell ref="B2:J4"/>
  </mergeCells>
  <dataValidations count="1">
    <dataValidation type="list" allowBlank="1" showInputMessage="1" showErrorMessage="1" sqref="G9:G27" xr:uid="{3F31BAE7-3BEA-4E62-9242-232D44B4EB35}">
      <formula1>STATUS</formula1>
    </dataValidation>
  </dataValidations>
  <hyperlinks>
    <hyperlink ref="F10" r:id="rId1" display="https://www.google.com/search?q=https://cisco-jira.atlassian.net/browse/CEM-50696" xr:uid="{C9D2099E-C2DC-486D-8168-8A3438655556}"/>
    <hyperlink ref="H10" r:id="rId2" xr:uid="{5904A77F-727A-498A-A9F1-2F549BB7348B}"/>
    <hyperlink ref="H18" r:id="rId3" display="https://cisco-mktg.atlassian.net/browse/MUSE-505" xr:uid="{6421B126-F897-4E81-98D7-5988DFDFFA29}"/>
  </hyperlinks>
  <pageMargins left="0.7" right="0.7" top="0.75" bottom="0.75" header="0.3" footer="0.3"/>
  <headerFooter>
    <oddFooter>&amp;R_x000D_&amp;1#&amp;"Aptos"&amp;8&amp;K000000 Cisco Confidential</oddFooter>
  </headerFooter>
  <tableParts count="1">
    <tablePart r:id="rId4"/>
  </tableParts>
  <extLst>
    <ext xmlns:x14="http://schemas.microsoft.com/office/spreadsheetml/2009/9/main" uri="{78C0D931-6437-407d-A8EE-F0AAD7539E65}">
      <x14:conditionalFormattings>
        <x14:conditionalFormatting xmlns:xm="http://schemas.microsoft.com/office/excel/2006/main">
          <x14:cfRule type="expression" priority="10" id="{7848213C-E9EF-4131-A4CC-9EF8B17BCBD4}">
            <xm:f>$G9=Lists!#REF!</xm:f>
            <x14:dxf>
              <font>
                <color rgb="FF0369A1"/>
              </font>
              <fill>
                <patternFill>
                  <bgColor rgb="FFE0F2FE"/>
                </patternFill>
              </fill>
            </x14:dxf>
          </x14:cfRule>
          <x14:cfRule type="expression" priority="11" id="{D367591D-F538-4DDF-A57C-D7BAA4C24270}">
            <xm:f>$G9=Lists!#REF!</xm:f>
            <x14:dxf>
              <font>
                <color rgb="FF1F2937"/>
              </font>
              <fill>
                <patternFill>
                  <bgColor rgb="FFE5E7EB"/>
                </patternFill>
              </fill>
            </x14:dxf>
          </x14:cfRule>
          <x14:cfRule type="expression" priority="12" id="{5B5163BB-FA88-445F-B3CE-0D4F1650E6FD}">
            <xm:f>$G9=Lists!#REF!</xm:f>
            <x14:dxf>
              <font>
                <color rgb="FF9A3412"/>
              </font>
              <fill>
                <patternFill>
                  <bgColor rgb="FFFFEDD5"/>
                </patternFill>
              </fill>
            </x14:dxf>
          </x14:cfRule>
          <x14:cfRule type="expression" priority="13" id="{3584986D-1694-4F8D-8B64-504E4479000E}">
            <xm:f>$G9=Lists!#REF!</xm:f>
            <x14:dxf>
              <font>
                <color rgb="FF991B1B"/>
              </font>
              <fill>
                <patternFill>
                  <bgColor rgb="FFFEE2E2"/>
                </patternFill>
              </fill>
            </x14:dxf>
          </x14:cfRule>
          <xm:sqref>B9:J27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B0DF8-C645-476D-9C70-08CD1E42BF23}">
  <dimension ref="A1:M17"/>
  <sheetViews>
    <sheetView workbookViewId="0">
      <selection activeCell="A2" sqref="A2:A9"/>
    </sheetView>
  </sheetViews>
  <sheetFormatPr defaultRowHeight="14.25"/>
  <cols>
    <col min="1" max="1" width="22.3984375" bestFit="1" customWidth="1"/>
    <col min="3" max="3" width="23.1328125" bestFit="1" customWidth="1"/>
    <col min="8" max="8" width="24.3984375" customWidth="1"/>
    <col min="9" max="9" width="20" customWidth="1"/>
    <col min="11" max="11" width="15" customWidth="1"/>
    <col min="13" max="13" width="26.265625" customWidth="1"/>
  </cols>
  <sheetData>
    <row r="1" spans="1:13">
      <c r="A1" t="s">
        <v>136</v>
      </c>
    </row>
    <row r="2" spans="1:13">
      <c r="A2" t="s">
        <v>8</v>
      </c>
      <c r="B2" s="16"/>
    </row>
    <row r="3" spans="1:13">
      <c r="A3" t="s">
        <v>9</v>
      </c>
      <c r="B3" s="15"/>
    </row>
    <row r="4" spans="1:13">
      <c r="A4" t="s">
        <v>10</v>
      </c>
      <c r="B4" s="7"/>
    </row>
    <row r="5" spans="1:13">
      <c r="A5" t="s">
        <v>11</v>
      </c>
      <c r="B5" s="14"/>
    </row>
    <row r="6" spans="1:13">
      <c r="A6" t="s">
        <v>12</v>
      </c>
      <c r="B6" s="13"/>
    </row>
    <row r="7" spans="1:13">
      <c r="A7" t="s">
        <v>13</v>
      </c>
      <c r="B7" s="11"/>
      <c r="C7" s="18" t="s">
        <v>137</v>
      </c>
    </row>
    <row r="8" spans="1:13">
      <c r="A8" t="s">
        <v>14</v>
      </c>
      <c r="B8" s="10"/>
      <c r="C8" s="17" t="s">
        <v>138</v>
      </c>
    </row>
    <row r="9" spans="1:13" ht="41.65">
      <c r="A9" t="s">
        <v>15</v>
      </c>
      <c r="B9" s="12"/>
      <c r="H9" s="1" t="s">
        <v>139</v>
      </c>
      <c r="I9" s="1" t="s">
        <v>140</v>
      </c>
      <c r="J9" s="1" t="s">
        <v>141</v>
      </c>
      <c r="K9" s="1" t="s">
        <v>142</v>
      </c>
      <c r="L9" s="1" t="s">
        <v>143</v>
      </c>
      <c r="M9" s="1" t="s">
        <v>144</v>
      </c>
    </row>
    <row r="10" spans="1:13" ht="40.9">
      <c r="H10" s="1" t="s">
        <v>10</v>
      </c>
      <c r="I10" s="2" t="s">
        <v>145</v>
      </c>
      <c r="J10" s="8" t="s">
        <v>146</v>
      </c>
      <c r="K10" s="9" t="s">
        <v>147</v>
      </c>
      <c r="L10" s="9" t="s">
        <v>148</v>
      </c>
      <c r="M10" s="1" t="s">
        <v>149</v>
      </c>
    </row>
    <row r="11" spans="1:13" ht="40.9">
      <c r="H11" s="1" t="s">
        <v>12</v>
      </c>
      <c r="I11" s="2" t="s">
        <v>150</v>
      </c>
      <c r="J11" s="8" t="s">
        <v>151</v>
      </c>
      <c r="K11" s="9" t="s">
        <v>137</v>
      </c>
      <c r="L11" s="9" t="s">
        <v>152</v>
      </c>
      <c r="M11" s="1" t="s">
        <v>153</v>
      </c>
    </row>
    <row r="12" spans="1:13" ht="40.9">
      <c r="H12" s="1" t="s">
        <v>11</v>
      </c>
      <c r="I12" s="2" t="s">
        <v>154</v>
      </c>
      <c r="J12" s="8" t="s">
        <v>155</v>
      </c>
      <c r="K12" s="9" t="s">
        <v>156</v>
      </c>
      <c r="L12" s="9" t="s">
        <v>157</v>
      </c>
      <c r="M12" s="1" t="s">
        <v>158</v>
      </c>
    </row>
    <row r="13" spans="1:13" ht="40.9">
      <c r="H13" s="1" t="s">
        <v>13</v>
      </c>
      <c r="I13" s="2" t="s">
        <v>159</v>
      </c>
      <c r="J13" s="8" t="s">
        <v>160</v>
      </c>
      <c r="K13" s="9" t="s">
        <v>161</v>
      </c>
      <c r="L13" s="9" t="s">
        <v>162</v>
      </c>
      <c r="M13" s="1" t="s">
        <v>163</v>
      </c>
    </row>
    <row r="14" spans="1:13" ht="54.4">
      <c r="H14" s="1" t="s">
        <v>14</v>
      </c>
      <c r="I14" s="2" t="s">
        <v>164</v>
      </c>
      <c r="J14" s="8" t="s">
        <v>165</v>
      </c>
      <c r="K14" s="9" t="s">
        <v>166</v>
      </c>
      <c r="L14" s="9" t="s">
        <v>167</v>
      </c>
      <c r="M14" s="1" t="s">
        <v>168</v>
      </c>
    </row>
    <row r="15" spans="1:13" ht="40.9">
      <c r="H15" s="1" t="s">
        <v>8</v>
      </c>
      <c r="I15" s="2" t="s">
        <v>169</v>
      </c>
      <c r="J15" s="8" t="s">
        <v>170</v>
      </c>
      <c r="K15" s="9" t="s">
        <v>171</v>
      </c>
      <c r="L15" s="9" t="s">
        <v>172</v>
      </c>
      <c r="M15" s="1" t="s">
        <v>173</v>
      </c>
    </row>
    <row r="16" spans="1:13" ht="40.9">
      <c r="H16" s="1" t="s">
        <v>9</v>
      </c>
      <c r="I16" s="2" t="s">
        <v>174</v>
      </c>
      <c r="J16" s="8" t="s">
        <v>175</v>
      </c>
      <c r="K16" s="9" t="s">
        <v>176</v>
      </c>
      <c r="L16" s="9" t="s">
        <v>177</v>
      </c>
      <c r="M16" s="1" t="s">
        <v>178</v>
      </c>
    </row>
    <row r="17" spans="8:13" ht="40.9">
      <c r="H17" s="1" t="s">
        <v>179</v>
      </c>
      <c r="I17" s="2" t="s">
        <v>180</v>
      </c>
      <c r="J17" s="8" t="s">
        <v>181</v>
      </c>
      <c r="K17" s="9" t="s">
        <v>182</v>
      </c>
      <c r="L17" s="9" t="s">
        <v>183</v>
      </c>
      <c r="M17" s="1" t="s">
        <v>184</v>
      </c>
    </row>
  </sheetData>
  <pageMargins left="0.7" right="0.7" top="0.75" bottom="0.75" header="0.3" footer="0.3"/>
  <pageSetup orientation="portrait" r:id="rId1"/>
  <headerFooter>
    <oddFooter>&amp;R_x000D_&amp;1#&amp;"Aptos"&amp;8&amp;K000000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E837C0C014154FB2B15D89EFA54B38" ma:contentTypeVersion="13" ma:contentTypeDescription="Create a new document." ma:contentTypeScope="" ma:versionID="d0030ed5fda7b73ec25d50671f929e41">
  <xsd:schema xmlns:xsd="http://www.w3.org/2001/XMLSchema" xmlns:xs="http://www.w3.org/2001/XMLSchema" xmlns:p="http://schemas.microsoft.com/office/2006/metadata/properties" xmlns:ns2="8f2b5035-1e63-4e0d-a1f8-6c8d73ef4eb4" xmlns:ns3="b5f16604-4fb8-433a-b8c7-95fecaa47cb7" targetNamespace="http://schemas.microsoft.com/office/2006/metadata/properties" ma:root="true" ma:fieldsID="4d4b8f11fdac4ee6c547e2512a2a515f" ns2:_="" ns3:_="">
    <xsd:import namespace="8f2b5035-1e63-4e0d-a1f8-6c8d73ef4eb4"/>
    <xsd:import namespace="b5f16604-4fb8-433a-b8c7-95fecaa47c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Folder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2b5035-1e63-4e0d-a1f8-6c8d73ef4e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FolderDescription" ma:index="20" nillable="true" ma:displayName="Folder Description" ma:description="Full Description of this folder" ma:format="Dropdown" ma:internalName="Folder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f16604-4fb8-433a-b8c7-95fecaa47cb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2b2ac4a-8ca1-4ed9-bfbf-3a99f160e351}" ma:internalName="TaxCatchAll" ma:showField="CatchAllData" ma:web="b5f16604-4fb8-433a-b8c7-95fecaa47c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olderDescription xmlns="8f2b5035-1e63-4e0d-a1f8-6c8d73ef4eb4" xsi:nil="true"/>
    <lcf76f155ced4ddcb4097134ff3c332f xmlns="8f2b5035-1e63-4e0d-a1f8-6c8d73ef4eb4">
      <Terms xmlns="http://schemas.microsoft.com/office/infopath/2007/PartnerControls"/>
    </lcf76f155ced4ddcb4097134ff3c332f>
    <TaxCatchAll xmlns="b5f16604-4fb8-433a-b8c7-95fecaa47cb7" xsi:nil="true"/>
  </documentManagement>
</p:properties>
</file>

<file path=customXml/itemProps1.xml><?xml version="1.0" encoding="utf-8"?>
<ds:datastoreItem xmlns:ds="http://schemas.openxmlformats.org/officeDocument/2006/customXml" ds:itemID="{B2685141-D3D9-46D7-8895-A9D62E563F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2b5035-1e63-4e0d-a1f8-6c8d73ef4eb4"/>
    <ds:schemaRef ds:uri="b5f16604-4fb8-433a-b8c7-95fecaa47c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26E966-AD6D-4828-83A1-F33EE8F8BB63}">
  <ds:schemaRefs>
    <ds:schemaRef ds:uri="http://schemas.microsoft.com/sharepoint/v3/contenttype/forms"/>
  </ds:schemaRefs>
</ds:datastoreItem>
</file>

<file path=customXml/itemProps3.xml><?xml version="1.0" encoding="utf-8"?>
<ds:datastoreItem xmlns:ds="http://schemas.openxmlformats.org/officeDocument/2006/customXml" ds:itemID="{CBFF0813-356F-4DBA-92B3-20E2911B6066}">
  <ds:schemaRefs>
    <ds:schemaRef ds:uri="http://purl.org/dc/elements/1.1/"/>
    <ds:schemaRef ds:uri="http://www.w3.org/XML/1998/namespace"/>
    <ds:schemaRef ds:uri="http://purl.org/dc/terms/"/>
    <ds:schemaRef ds:uri="http://schemas.microsoft.com/office/2006/documentManagement/types"/>
    <ds:schemaRef ds:uri="b5f16604-4fb8-433a-b8c7-95fecaa47cb7"/>
    <ds:schemaRef ds:uri="8f2b5035-1e63-4e0d-a1f8-6c8d73ef4eb4"/>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Project Information</vt:lpstr>
      <vt:lpstr>Items</vt:lpstr>
      <vt:lpstr>Lists</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Amanda Chenery (achenery)</dc:creator>
  <cp:keywords/>
  <dc:description/>
  <cp:lastModifiedBy>Amanda Chenery (achenery)</cp:lastModifiedBy>
  <cp:revision/>
  <dcterms:created xsi:type="dcterms:W3CDTF">2026-08-05T10:17:03Z</dcterms:created>
  <dcterms:modified xsi:type="dcterms:W3CDTF">2026-08-18T13:29:00Z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0x010100C4E837C0C014154FB2B15D89EFA54B38</vt:lpwstr>
  </property>
  <property fmtid="{D5CDD505-2E9C-101B-9397-08002B2CF9AE}" pid="3" name="MediaServiceImageTags">
    <vt:lpwstr/>
  </property>
</Properties>
</file>